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66C964A-F538-400C-B381-C66F19474FBE}" xr6:coauthVersionLast="47" xr6:coauthVersionMax="47" xr10:uidLastSave="{00000000-0000-0000-0000-000000000000}"/>
  <bookViews>
    <workbookView xWindow="-120" yWindow="-120" windowWidth="29040" windowHeight="15720" activeTab="4" xr2:uid="{D3F7858D-51E2-48A3-A226-3BDE801FC7BD}"/>
  </bookViews>
  <sheets>
    <sheet name="listas" sheetId="2" r:id="rId1"/>
    <sheet name="Variables" sheetId="3" r:id="rId2"/>
    <sheet name="Parametros" sheetId="1" r:id="rId3"/>
    <sheet name="metricas" sheetId="4" r:id="rId4"/>
    <sheet name="metricas_final" sheetId="5" r:id="rId5"/>
  </sheets>
  <definedNames>
    <definedName name="antigüedad">listas!$D$10:$D$13</definedName>
    <definedName name="BOOL">listas!$D$4:$D$5</definedName>
    <definedName name="Estacion">listas!$B$10:$B$13</definedName>
    <definedName name="Tipo_Inmueble">listas!$B$4:$B$6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4" l="1"/>
  <c r="K23" i="4"/>
  <c r="K24" i="4"/>
  <c r="K21" i="4"/>
  <c r="L23" i="4"/>
  <c r="J22" i="4"/>
  <c r="J23" i="4"/>
  <c r="J24" i="4"/>
  <c r="J21" i="4"/>
  <c r="J6" i="4"/>
  <c r="J7" i="4"/>
  <c r="J8" i="4"/>
  <c r="J5" i="4"/>
  <c r="K6" i="4"/>
  <c r="K7" i="4"/>
  <c r="K8" i="4"/>
  <c r="L8" i="4" s="1"/>
  <c r="K5" i="4"/>
  <c r="L22" i="4"/>
  <c r="L21" i="4"/>
  <c r="M13" i="4"/>
  <c r="L6" i="4"/>
  <c r="L7" i="4"/>
  <c r="L5" i="4"/>
  <c r="M23" i="4"/>
  <c r="M22" i="4"/>
  <c r="M21" i="4"/>
  <c r="M16" i="4"/>
  <c r="M15" i="4"/>
  <c r="M14" i="4"/>
  <c r="F24" i="4"/>
  <c r="F23" i="4"/>
  <c r="F22" i="4"/>
  <c r="F21" i="4"/>
  <c r="F25" i="4" s="1"/>
  <c r="F16" i="4"/>
  <c r="F15" i="4"/>
  <c r="F14" i="4"/>
  <c r="F13" i="4"/>
  <c r="F8" i="4"/>
  <c r="F7" i="4"/>
  <c r="F6" i="4"/>
  <c r="F5" i="4"/>
  <c r="F9" i="4" s="1"/>
  <c r="H9" i="4" s="1"/>
  <c r="F26" i="1"/>
  <c r="F27" i="1"/>
  <c r="F28" i="1"/>
  <c r="F25" i="1"/>
  <c r="F19" i="1"/>
  <c r="F20" i="1"/>
  <c r="F21" i="1"/>
  <c r="F18" i="1"/>
  <c r="F22" i="1" s="1"/>
  <c r="F12" i="1"/>
  <c r="F13" i="1"/>
  <c r="F14" i="1"/>
  <c r="F11" i="1"/>
  <c r="F15" i="1" s="1"/>
  <c r="F29" i="1"/>
  <c r="P10" i="1"/>
  <c r="V5" i="1"/>
  <c r="V6" i="1"/>
  <c r="X4" i="1"/>
  <c r="V4" i="1"/>
  <c r="T5" i="1"/>
  <c r="T6" i="1"/>
  <c r="T4" i="1"/>
  <c r="Q5" i="1"/>
  <c r="Z5" i="1" s="1"/>
  <c r="Q6" i="1"/>
  <c r="Z6" i="1" s="1"/>
  <c r="Q4" i="1"/>
  <c r="R5" i="1" a="1"/>
  <c r="R5" i="1" s="1"/>
  <c r="R6" i="1" a="1"/>
  <c r="R6" i="1" s="1"/>
  <c r="R4" i="1" a="1"/>
  <c r="R4" i="1" s="1"/>
  <c r="O4" i="1" a="1"/>
  <c r="O4" i="1" s="1"/>
  <c r="O6" i="1" a="1"/>
  <c r="O6" i="1" s="1"/>
  <c r="O5" i="1" a="1"/>
  <c r="O5" i="1" s="1"/>
  <c r="M24" i="4" l="1"/>
  <c r="L24" i="4"/>
  <c r="M8" i="4"/>
  <c r="M7" i="4"/>
  <c r="M6" i="4"/>
  <c r="M5" i="4"/>
  <c r="M25" i="4"/>
  <c r="F17" i="4"/>
  <c r="M17" i="4"/>
  <c r="S5" i="1"/>
  <c r="S4" i="1"/>
  <c r="S6" i="1"/>
  <c r="W4" i="1"/>
  <c r="W6" i="1"/>
  <c r="W5" i="1"/>
  <c r="U6" i="1"/>
  <c r="U5" i="1"/>
  <c r="U4" i="1"/>
  <c r="Z4" i="1"/>
  <c r="X5" i="1"/>
  <c r="X6" i="1"/>
  <c r="M9" i="4" l="1"/>
  <c r="Y6" i="1"/>
  <c r="AH6" i="1" s="1"/>
  <c r="AG6" i="1"/>
  <c r="AA5" i="1"/>
  <c r="AB5" i="1" s="1"/>
  <c r="AF5" i="1" s="1"/>
  <c r="AG5" i="1"/>
  <c r="AC5" i="1" s="1"/>
  <c r="AD5" i="1" s="1"/>
  <c r="AI5" i="1" s="1"/>
  <c r="AA4" i="1"/>
  <c r="AB4" i="1" s="1"/>
  <c r="AF4" i="1" s="1"/>
  <c r="AG4" i="1"/>
  <c r="AA6" i="1"/>
  <c r="AB6" i="1" s="1"/>
  <c r="AF6" i="1" s="1"/>
  <c r="Y5" i="1"/>
  <c r="AE5" i="1" s="1"/>
  <c r="Y4" i="1"/>
  <c r="AE4" i="1" s="1"/>
  <c r="AJ5" i="1" l="1"/>
  <c r="AE6" i="1"/>
  <c r="AC4" i="1"/>
  <c r="AD4" i="1" s="1"/>
  <c r="AI4" i="1" s="1"/>
  <c r="AJ4" i="1" s="1"/>
  <c r="AC6" i="1"/>
  <c r="AD6" i="1" s="1"/>
  <c r="AI6" i="1" s="1"/>
  <c r="AJ6" i="1" s="1"/>
  <c r="AH4" i="1"/>
  <c r="A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<sst xmlns="http://schemas.openxmlformats.org/spreadsheetml/2006/main" count="287" uniqueCount="97">
  <si>
    <t>&lt;=</t>
  </si>
  <si>
    <t>&gt; y &lt;=</t>
  </si>
  <si>
    <t>&gt;</t>
  </si>
  <si>
    <t>Monoambiente</t>
  </si>
  <si>
    <t>Eficiente</t>
  </si>
  <si>
    <t>Moderado</t>
  </si>
  <si>
    <t>Ineficiente</t>
  </si>
  <si>
    <t>Primavera</t>
  </si>
  <si>
    <t>verano</t>
  </si>
  <si>
    <t>Otoño</t>
  </si>
  <si>
    <t>Invierno</t>
  </si>
  <si>
    <t>Departamento</t>
  </si>
  <si>
    <t>Casa</t>
  </si>
  <si>
    <t>Estaciones</t>
  </si>
  <si>
    <t>variacion</t>
  </si>
  <si>
    <t>%variacion</t>
  </si>
  <si>
    <t>consumo</t>
  </si>
  <si>
    <t>Base de aumento</t>
  </si>
  <si>
    <t>Consumo anual</t>
  </si>
  <si>
    <t>Hora Pico</t>
  </si>
  <si>
    <t>Consumo Promedio</t>
  </si>
  <si>
    <t>Min</t>
  </si>
  <si>
    <t>Max</t>
  </si>
  <si>
    <t>LCLid</t>
  </si>
  <si>
    <t>month</t>
  </si>
  <si>
    <t>consumo_kwh</t>
  </si>
  <si>
    <t>horas_alto_consumo</t>
  </si>
  <si>
    <t>uso_horario_pico</t>
  </si>
  <si>
    <t>tipo_inmueble</t>
  </si>
  <si>
    <t>cantidad_equipos</t>
  </si>
  <si>
    <t>estacion</t>
  </si>
  <si>
    <t>Clasificacion</t>
  </si>
  <si>
    <t>tarifa</t>
  </si>
  <si>
    <t>Costo Bruto</t>
  </si>
  <si>
    <t>% Aumento</t>
  </si>
  <si>
    <t>Valor Aumento</t>
  </si>
  <si>
    <t>Anual Bruto</t>
  </si>
  <si>
    <t>% Anual</t>
  </si>
  <si>
    <t>costo estimado</t>
  </si>
  <si>
    <t>anual</t>
  </si>
  <si>
    <t>ahorro potencial</t>
  </si>
  <si>
    <t>aire</t>
  </si>
  <si>
    <t>iluminacion led</t>
  </si>
  <si>
    <t>calentador</t>
  </si>
  <si>
    <t>antigüedad</t>
  </si>
  <si>
    <t>no</t>
  </si>
  <si>
    <t>si</t>
  </si>
  <si>
    <t>tipo de inmueble</t>
  </si>
  <si>
    <t>area del inmueble</t>
  </si>
  <si>
    <t>Numero de personas</t>
  </si>
  <si>
    <t>cantidad de electrodomesticos</t>
  </si>
  <si>
    <t xml:space="preserve">horas promedio de uso </t>
  </si>
  <si>
    <t>consumo en hora pico</t>
  </si>
  <si>
    <t>aire acondicionado</t>
  </si>
  <si>
    <t>N°</t>
  </si>
  <si>
    <t>tipo</t>
  </si>
  <si>
    <t>float</t>
  </si>
  <si>
    <t>STR</t>
  </si>
  <si>
    <t>cambio</t>
  </si>
  <si>
    <t>-</t>
  </si>
  <si>
    <t>int</t>
  </si>
  <si>
    <t>bool</t>
  </si>
  <si>
    <t>Integrada</t>
  </si>
  <si>
    <t>ok</t>
  </si>
  <si>
    <t>Cambios</t>
  </si>
  <si>
    <t>Estacion del año</t>
  </si>
  <si>
    <t>consumo mensual</t>
  </si>
  <si>
    <t>Tipo Inmueble</t>
  </si>
  <si>
    <t>BOOL</t>
  </si>
  <si>
    <t>Estacion</t>
  </si>
  <si>
    <t>%Aumento HPico</t>
  </si>
  <si>
    <t>Aumento HPico</t>
  </si>
  <si>
    <t>Dato %</t>
  </si>
  <si>
    <t>60w - 20w</t>
  </si>
  <si>
    <t>llave 15%</t>
  </si>
  <si>
    <t>mes</t>
  </si>
  <si>
    <t>Int</t>
  </si>
  <si>
    <t>Variable</t>
  </si>
  <si>
    <t>Menor de &lt;=3 años</t>
  </si>
  <si>
    <t>Mayor a &gt;3 &amp; &lt;=5 años</t>
  </si>
  <si>
    <t>Mayor a &gt;5 años</t>
  </si>
  <si>
    <t>Sistema de Ahorro</t>
  </si>
  <si>
    <t>% ahorro</t>
  </si>
  <si>
    <t>luces led</t>
  </si>
  <si>
    <t>%luces</t>
  </si>
  <si>
    <t>Aumento luces</t>
  </si>
  <si>
    <t>%Antiguedad</t>
  </si>
  <si>
    <t>Aumento de Anti</t>
  </si>
  <si>
    <t>Varibles de control</t>
  </si>
  <si>
    <t>Ahorro P-Año</t>
  </si>
  <si>
    <t>% Ahorro P</t>
  </si>
  <si>
    <t>%Ahorro P-Año</t>
  </si>
  <si>
    <t>Diferencia Anual</t>
  </si>
  <si>
    <t>mono</t>
  </si>
  <si>
    <t>dep</t>
  </si>
  <si>
    <t>ID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</si>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</sst>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000000000"/>
    <numFmt numFmtId="165" formatCode="#,##0.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0">
    <xf numFmtId="0" fontId="0" fillId="0" borderId="0" xfId="0"/>
    <xf numFmtId="0" fontId="0" fillId="0" borderId="2" xfId="0" applyBorder="1"/>
    <xf numFmtId="8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8" fontId="0" fillId="0" borderId="3" xfId="0" applyNumberFormat="1" applyBorder="1"/>
    <xf numFmtId="10" fontId="0" fillId="0" borderId="3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9" fontId="0" fillId="0" borderId="2" xfId="0" applyNumberFormat="1" applyBorder="1"/>
    <xf numFmtId="9" fontId="0" fillId="0" borderId="3" xfId="0" applyNumberFormat="1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8" xfId="0" applyNumberFormat="1" applyBorder="1"/>
    <xf numFmtId="9" fontId="0" fillId="0" borderId="8" xfId="0" applyNumberFormat="1" applyBorder="1"/>
    <xf numFmtId="0" fontId="0" fillId="0" borderId="3" xfId="0" applyFont="1" applyBorder="1"/>
    <xf numFmtId="0" fontId="0" fillId="0" borderId="2" xfId="0" applyFont="1" applyBorder="1"/>
    <xf numFmtId="0" fontId="1" fillId="0" borderId="1" xfId="0" applyFont="1" applyBorder="1" applyAlignment="1">
      <alignment horizontal="center"/>
    </xf>
    <xf numFmtId="9" fontId="0" fillId="0" borderId="3" xfId="1" applyFont="1" applyBorder="1"/>
    <xf numFmtId="8" fontId="0" fillId="0" borderId="0" xfId="0" applyNumberFormat="1"/>
    <xf numFmtId="0" fontId="0" fillId="0" borderId="0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9" fontId="0" fillId="7" borderId="0" xfId="0" applyNumberFormat="1" applyFill="1" applyAlignment="1">
      <alignment horizontal="center" vertical="center"/>
    </xf>
    <xf numFmtId="0" fontId="0" fillId="0" borderId="9" xfId="0" applyBorder="1"/>
    <xf numFmtId="9" fontId="0" fillId="0" borderId="0" xfId="1" applyFont="1"/>
    <xf numFmtId="0" fontId="0" fillId="0" borderId="0" xfId="0" applyFill="1"/>
    <xf numFmtId="9" fontId="0" fillId="0" borderId="0" xfId="0" applyNumberFormat="1" applyBorder="1"/>
    <xf numFmtId="10" fontId="0" fillId="0" borderId="3" xfId="1" applyNumberFormat="1" applyFont="1" applyBorder="1"/>
    <xf numFmtId="44" fontId="0" fillId="0" borderId="3" xfId="2" applyFont="1" applyBorder="1"/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164" fontId="0" fillId="0" borderId="2" xfId="0" applyNumberFormat="1" applyFill="1" applyBorder="1" applyAlignment="1">
      <alignment horizontal="center"/>
    </xf>
    <xf numFmtId="164" fontId="0" fillId="0" borderId="2" xfId="0" applyNumberFormat="1" applyBorder="1"/>
    <xf numFmtId="165" fontId="0" fillId="0" borderId="2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4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ADDC-08FB-4865-947A-C4BDF62FDA9A}">
  <dimension ref="B2:D13"/>
  <sheetViews>
    <sheetView zoomScale="175" zoomScaleNormal="175" workbookViewId="0">
      <selection activeCell="D12" sqref="D12"/>
    </sheetView>
  </sheetViews>
  <sheetFormatPr baseColWidth="10" defaultRowHeight="15" x14ac:dyDescent="0.25"/>
  <cols>
    <col min="2" max="2" width="14.7109375" bestFit="1" customWidth="1"/>
    <col min="4" max="4" width="21" bestFit="1" customWidth="1"/>
  </cols>
  <sheetData>
    <row r="2" spans="2:4" ht="15.75" thickBot="1" x14ac:dyDescent="0.3"/>
    <row r="3" spans="2:4" ht="15.75" thickBot="1" x14ac:dyDescent="0.3">
      <c r="B3" s="12" t="s">
        <v>67</v>
      </c>
      <c r="D3" s="38" t="s">
        <v>68</v>
      </c>
    </row>
    <row r="4" spans="2:4" x14ac:dyDescent="0.25">
      <c r="B4" s="36" t="s">
        <v>3</v>
      </c>
      <c r="D4" s="21" t="s">
        <v>46</v>
      </c>
    </row>
    <row r="5" spans="2:4" x14ac:dyDescent="0.25">
      <c r="B5" s="37" t="s">
        <v>11</v>
      </c>
      <c r="D5" s="22" t="s">
        <v>45</v>
      </c>
    </row>
    <row r="6" spans="2:4" x14ac:dyDescent="0.25">
      <c r="B6" s="37" t="s">
        <v>12</v>
      </c>
    </row>
    <row r="8" spans="2:4" ht="15.75" thickBot="1" x14ac:dyDescent="0.3"/>
    <row r="9" spans="2:4" ht="15.75" thickBot="1" x14ac:dyDescent="0.3">
      <c r="B9" s="12" t="s">
        <v>69</v>
      </c>
      <c r="D9" s="38" t="s">
        <v>44</v>
      </c>
    </row>
    <row r="10" spans="2:4" x14ac:dyDescent="0.25">
      <c r="B10" s="4" t="s">
        <v>7</v>
      </c>
      <c r="D10" s="24" t="s">
        <v>78</v>
      </c>
    </row>
    <row r="11" spans="2:4" x14ac:dyDescent="0.25">
      <c r="B11" s="1" t="s">
        <v>8</v>
      </c>
      <c r="D11" s="25" t="s">
        <v>79</v>
      </c>
    </row>
    <row r="12" spans="2:4" x14ac:dyDescent="0.25">
      <c r="B12" s="1" t="s">
        <v>9</v>
      </c>
      <c r="D12" s="42" t="s">
        <v>80</v>
      </c>
    </row>
    <row r="13" spans="2:4" x14ac:dyDescent="0.25">
      <c r="B13" s="1" t="s">
        <v>10</v>
      </c>
      <c r="D13" s="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8586-4BAD-44B1-8796-4477EF6412E0}">
  <sheetPr>
    <tabColor theme="8"/>
  </sheetPr>
  <dimension ref="B5:F19"/>
  <sheetViews>
    <sheetView zoomScale="160" zoomScaleNormal="160" workbookViewId="0">
      <selection activeCell="E9" sqref="A9:XFD9"/>
    </sheetView>
  </sheetViews>
  <sheetFormatPr baseColWidth="10" defaultRowHeight="15" x14ac:dyDescent="0.25"/>
  <cols>
    <col min="2" max="2" width="3.140625" bestFit="1" customWidth="1"/>
    <col min="3" max="3" width="28.5703125" bestFit="1" customWidth="1"/>
    <col min="6" max="6" width="15.28515625" bestFit="1" customWidth="1"/>
  </cols>
  <sheetData>
    <row r="5" spans="2:6" ht="15.75" thickBot="1" x14ac:dyDescent="0.3"/>
    <row r="6" spans="2:6" ht="15.75" thickBot="1" x14ac:dyDescent="0.3">
      <c r="B6" s="13" t="s">
        <v>54</v>
      </c>
      <c r="C6" s="13" t="s">
        <v>77</v>
      </c>
      <c r="D6" s="13" t="s">
        <v>62</v>
      </c>
      <c r="E6" s="13" t="s">
        <v>55</v>
      </c>
      <c r="F6" s="26" t="s">
        <v>64</v>
      </c>
    </row>
    <row r="7" spans="2:6" x14ac:dyDescent="0.25">
      <c r="B7" s="4">
        <v>1</v>
      </c>
      <c r="C7" s="4" t="s">
        <v>66</v>
      </c>
      <c r="D7" s="24" t="s">
        <v>63</v>
      </c>
      <c r="E7" s="21" t="s">
        <v>56</v>
      </c>
      <c r="F7" s="4"/>
    </row>
    <row r="8" spans="2:6" x14ac:dyDescent="0.25">
      <c r="B8" s="1">
        <v>2</v>
      </c>
      <c r="C8" s="1" t="s">
        <v>47</v>
      </c>
      <c r="D8" s="25" t="s">
        <v>63</v>
      </c>
      <c r="E8" s="22" t="s">
        <v>57</v>
      </c>
      <c r="F8" s="1"/>
    </row>
    <row r="9" spans="2:6" x14ac:dyDescent="0.25">
      <c r="B9" s="1">
        <v>3</v>
      </c>
      <c r="C9" s="20" t="s">
        <v>48</v>
      </c>
      <c r="D9" s="23" t="s">
        <v>58</v>
      </c>
      <c r="E9" s="23" t="s">
        <v>57</v>
      </c>
      <c r="F9" s="1" t="s">
        <v>65</v>
      </c>
    </row>
    <row r="10" spans="2:6" x14ac:dyDescent="0.25">
      <c r="B10" s="1">
        <v>4</v>
      </c>
      <c r="C10" s="1" t="s">
        <v>49</v>
      </c>
      <c r="D10" s="22" t="s">
        <v>59</v>
      </c>
      <c r="E10" s="22" t="s">
        <v>60</v>
      </c>
      <c r="F10" s="1"/>
    </row>
    <row r="11" spans="2:6" x14ac:dyDescent="0.25">
      <c r="B11" s="1">
        <v>5</v>
      </c>
      <c r="C11" s="1" t="s">
        <v>50</v>
      </c>
      <c r="D11" s="25" t="s">
        <v>63</v>
      </c>
      <c r="E11" s="22" t="s">
        <v>60</v>
      </c>
      <c r="F11" s="1"/>
    </row>
    <row r="12" spans="2:6" x14ac:dyDescent="0.25">
      <c r="B12" s="1">
        <v>6</v>
      </c>
      <c r="C12" s="1" t="s">
        <v>51</v>
      </c>
      <c r="D12" s="25" t="s">
        <v>63</v>
      </c>
      <c r="E12" s="22" t="s">
        <v>56</v>
      </c>
      <c r="F12" s="1"/>
    </row>
    <row r="13" spans="2:6" x14ac:dyDescent="0.25">
      <c r="B13" s="1">
        <v>7</v>
      </c>
      <c r="C13" s="1" t="s">
        <v>52</v>
      </c>
      <c r="D13" s="25" t="s">
        <v>63</v>
      </c>
      <c r="E13" s="22" t="s">
        <v>61</v>
      </c>
      <c r="F13" s="1"/>
    </row>
    <row r="14" spans="2:6" x14ac:dyDescent="0.25">
      <c r="B14" s="1">
        <v>8</v>
      </c>
      <c r="C14" s="1" t="s">
        <v>53</v>
      </c>
      <c r="D14" s="25" t="s">
        <v>63</v>
      </c>
      <c r="E14" s="22" t="s">
        <v>61</v>
      </c>
      <c r="F14" s="1"/>
    </row>
    <row r="15" spans="2:6" x14ac:dyDescent="0.25">
      <c r="B15" s="1">
        <v>9</v>
      </c>
      <c r="C15" s="1" t="s">
        <v>43</v>
      </c>
      <c r="D15" s="25" t="s">
        <v>63</v>
      </c>
      <c r="E15" s="22" t="s">
        <v>61</v>
      </c>
      <c r="F15" s="1"/>
    </row>
    <row r="16" spans="2:6" x14ac:dyDescent="0.25">
      <c r="B16" s="1">
        <v>10</v>
      </c>
      <c r="C16" s="1" t="s">
        <v>42</v>
      </c>
      <c r="D16" s="25" t="s">
        <v>63</v>
      </c>
      <c r="E16" s="22" t="s">
        <v>61</v>
      </c>
      <c r="F16" s="1"/>
    </row>
    <row r="17" spans="2:6" x14ac:dyDescent="0.25">
      <c r="B17" s="1">
        <v>11</v>
      </c>
      <c r="C17" s="1" t="s">
        <v>44</v>
      </c>
      <c r="D17" s="25" t="s">
        <v>63</v>
      </c>
      <c r="E17" s="22" t="s">
        <v>57</v>
      </c>
      <c r="F17" s="1"/>
    </row>
    <row r="18" spans="2:6" x14ac:dyDescent="0.25">
      <c r="B18" s="46">
        <v>12</v>
      </c>
      <c r="C18" s="46" t="s">
        <v>32</v>
      </c>
      <c r="D18" s="47" t="s">
        <v>63</v>
      </c>
      <c r="E18" s="47" t="s">
        <v>56</v>
      </c>
      <c r="F18" s="46"/>
    </row>
    <row r="19" spans="2:6" x14ac:dyDescent="0.25">
      <c r="B19" s="44">
        <v>13</v>
      </c>
      <c r="C19" s="44" t="s">
        <v>75</v>
      </c>
      <c r="D19" s="45" t="s">
        <v>63</v>
      </c>
      <c r="E19" s="45" t="s">
        <v>76</v>
      </c>
      <c r="F19" s="4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F8BE-30EA-4ADE-A945-9FC9810A290F}">
  <sheetPr>
    <tabColor theme="9"/>
  </sheetPr>
  <dimension ref="B1:AN47"/>
  <sheetViews>
    <sheetView topLeftCell="K2" zoomScale="140" zoomScaleNormal="140" workbookViewId="0">
      <selection activeCell="P4" sqref="P4"/>
    </sheetView>
  </sheetViews>
  <sheetFormatPr baseColWidth="10" defaultRowHeight="15" outlineLevelCol="1" x14ac:dyDescent="0.25"/>
  <cols>
    <col min="2" max="2" width="18.5703125" bestFit="1" customWidth="1"/>
    <col min="3" max="3" width="9" bestFit="1" customWidth="1"/>
    <col min="4" max="4" width="10.5703125" bestFit="1" customWidth="1"/>
    <col min="5" max="5" width="10.7109375" bestFit="1" customWidth="1"/>
    <col min="7" max="7" width="9.42578125" customWidth="1"/>
    <col min="8" max="8" width="6.85546875" customWidth="1"/>
    <col min="9" max="9" width="13.7109375" customWidth="1"/>
    <col min="10" max="10" width="19.42578125" customWidth="1"/>
    <col min="11" max="11" width="16.42578125" customWidth="1"/>
    <col min="12" max="12" width="14.140625" customWidth="1"/>
    <col min="13" max="13" width="16.85546875" customWidth="1"/>
    <col min="14" max="14" width="10" customWidth="1"/>
    <col min="15" max="15" width="17.140625" bestFit="1" customWidth="1"/>
    <col min="16" max="16" width="16.7109375" bestFit="1" customWidth="1"/>
    <col min="17" max="18" width="11.28515625" hidden="1" customWidth="1" outlineLevel="1"/>
    <col min="19" max="19" width="14.42578125" hidden="1" customWidth="1" outlineLevel="1"/>
    <col min="20" max="20" width="16.42578125" hidden="1" customWidth="1" outlineLevel="1"/>
    <col min="21" max="21" width="14.7109375" hidden="1" customWidth="1" outlineLevel="1"/>
    <col min="22" max="22" width="7.140625" hidden="1" customWidth="1" outlineLevel="1"/>
    <col min="23" max="24" width="14.7109375" hidden="1" customWidth="1" outlineLevel="1"/>
    <col min="25" max="25" width="16.28515625" hidden="1" customWidth="1" outlineLevel="1"/>
    <col min="26" max="26" width="11.42578125" hidden="1" customWidth="1" outlineLevel="1"/>
    <col min="27" max="27" width="8.140625" hidden="1" customWidth="1" outlineLevel="1"/>
    <col min="28" max="28" width="10" hidden="1" customWidth="1" outlineLevel="1"/>
    <col min="29" max="30" width="15.5703125" hidden="1" customWidth="1" outlineLevel="1"/>
    <col min="31" max="31" width="14.42578125" bestFit="1" customWidth="1" collapsed="1"/>
    <col min="32" max="32" width="10.28515625" bestFit="1" customWidth="1"/>
    <col min="33" max="33" width="10.28515625" customWidth="1"/>
    <col min="34" max="36" width="15.5703125" customWidth="1"/>
    <col min="37" max="37" width="4.42578125" bestFit="1" customWidth="1"/>
    <col min="38" max="38" width="14.7109375" bestFit="1" customWidth="1"/>
    <col min="39" max="39" width="10.42578125" bestFit="1" customWidth="1"/>
    <col min="40" max="40" width="20.42578125" bestFit="1" customWidth="1"/>
  </cols>
  <sheetData>
    <row r="1" spans="2:40" ht="15.75" thickBot="1" x14ac:dyDescent="0.3"/>
    <row r="2" spans="2:40" ht="15.75" thickBot="1" x14ac:dyDescent="0.3">
      <c r="C2" s="38">
        <v>80</v>
      </c>
      <c r="D2" s="38">
        <v>1500</v>
      </c>
      <c r="K2" s="43" t="s">
        <v>74</v>
      </c>
      <c r="U2" s="51"/>
      <c r="V2" s="51"/>
      <c r="W2" s="51"/>
      <c r="X2" s="51"/>
      <c r="Y2" s="51"/>
      <c r="AC2" s="51"/>
      <c r="AD2" s="51"/>
      <c r="AH2" s="51"/>
      <c r="AI2" s="51"/>
      <c r="AJ2" s="51"/>
      <c r="AL2" s="43" t="s">
        <v>73</v>
      </c>
      <c r="AN2" s="48">
        <v>0.15</v>
      </c>
    </row>
    <row r="3" spans="2:40" ht="15.75" thickBot="1" x14ac:dyDescent="0.3">
      <c r="B3" s="18" t="s">
        <v>20</v>
      </c>
      <c r="C3" s="19" t="s">
        <v>21</v>
      </c>
      <c r="D3" s="19" t="s">
        <v>22</v>
      </c>
      <c r="G3" s="8" t="s">
        <v>23</v>
      </c>
      <c r="H3" s="7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8" t="s">
        <v>31</v>
      </c>
      <c r="P3" s="9" t="s">
        <v>32</v>
      </c>
      <c r="Q3" s="10" t="s">
        <v>33</v>
      </c>
      <c r="R3" s="10" t="s">
        <v>34</v>
      </c>
      <c r="S3" s="10" t="s">
        <v>35</v>
      </c>
      <c r="T3" s="10" t="s">
        <v>70</v>
      </c>
      <c r="U3" s="10" t="s">
        <v>71</v>
      </c>
      <c r="V3" s="10" t="s">
        <v>84</v>
      </c>
      <c r="W3" s="10" t="s">
        <v>85</v>
      </c>
      <c r="X3" s="10" t="s">
        <v>86</v>
      </c>
      <c r="Y3" s="10" t="s">
        <v>87</v>
      </c>
      <c r="Z3" s="10" t="s">
        <v>36</v>
      </c>
      <c r="AA3" s="10" t="s">
        <v>37</v>
      </c>
      <c r="AB3" s="10" t="s">
        <v>72</v>
      </c>
      <c r="AC3" s="10" t="s">
        <v>91</v>
      </c>
      <c r="AD3" s="10" t="s">
        <v>89</v>
      </c>
      <c r="AE3" s="9" t="s">
        <v>38</v>
      </c>
      <c r="AF3" s="9" t="s">
        <v>39</v>
      </c>
      <c r="AG3" s="9" t="s">
        <v>90</v>
      </c>
      <c r="AH3" s="9" t="s">
        <v>40</v>
      </c>
      <c r="AI3" s="9" t="s">
        <v>89</v>
      </c>
      <c r="AJ3" s="9" t="s">
        <v>92</v>
      </c>
      <c r="AK3" s="8" t="s">
        <v>41</v>
      </c>
      <c r="AL3" s="8" t="s">
        <v>42</v>
      </c>
      <c r="AM3" s="8" t="s">
        <v>43</v>
      </c>
      <c r="AN3" s="8" t="s">
        <v>44</v>
      </c>
    </row>
    <row r="4" spans="2:40" x14ac:dyDescent="0.25">
      <c r="B4" s="4" t="s">
        <v>3</v>
      </c>
      <c r="C4" s="15">
        <v>80</v>
      </c>
      <c r="D4" s="15">
        <v>180</v>
      </c>
      <c r="G4" s="4">
        <v>802658</v>
      </c>
      <c r="H4" s="21">
        <v>12</v>
      </c>
      <c r="I4" s="4">
        <v>250</v>
      </c>
      <c r="J4" s="21">
        <v>8</v>
      </c>
      <c r="K4" s="21" t="s">
        <v>45</v>
      </c>
      <c r="L4" s="21" t="s">
        <v>3</v>
      </c>
      <c r="M4" s="21">
        <v>5</v>
      </c>
      <c r="N4" s="22" t="s">
        <v>8</v>
      </c>
      <c r="O4" s="21" t="str" cm="1">
        <f t="array" ref="O4">_xlfn.IFS(AND($L4=$B$10,$N4=$B$11),IF($I4&lt;=$C$11,$C$10,IF(AND($I4&gt;$C$11,$I4&lt;=$D$11),$D$10,IF($I4&gt;$E$11,$E$10,"-"))),AND($L4=$B$10,$N4=$B$12),IF($I4&lt;=$C$12,$C$10,IF(AND($I4&gt;$C$12,$I4&lt;=$D$12),$D$10,IF($I4&gt;$E$12,$E$10,"-"))),AND($L4=$B$10,$N4=$B$13),IF($I4&lt;=$C$13,$C$10,IF(AND($I4&gt;$C$13,$I4&lt;=$D$13),$D$10,IF($I4&gt;$E$13,$E$10,"-"))),AND($L4=$B$10,$N4=$B$14),IF($I4&lt;=$C$14,$C$10,IF(AND($I4&gt;$C$14,$I4&lt;=$D$14),$D$10,IF($I4&gt;$E$14,$E$10,"-"))),AND($L4=$B$17,$N4=$B$19),IF($I4&lt;=$C$18,$C$17,IF(AND($I4&gt;$C$18,$I4&lt;=$D$18),$D$17,IF($I4&gt;$E$18,$E$17,"-"))),AND($L4=$B$17,$N4=$B$20),IF($I4&lt;=$C$19,$C$17,IF(AND($I4&gt;$C$19,$I4&lt;=$D$19),$D$17,IF($I4&gt;$E$19,$E$17,"-"))),AND($L4=$B$17,$N4=$B$21),IF($I4&lt;=$C$20,$C$17,IF(AND($I4&gt;$C$20,$I4&lt;=$D$20),$D$17,IF($I4&gt;$E$20,$E$17,"-"))),AND($L4=$B$17,$N4=$B$18),IF($I4&lt;=$C$21,$C$17,IF(AND($I4&gt;$C$21,$I4&lt;=$D$21),$D$17,IF($I4&gt;$E$21,$E$17,"-"))),AND($L4=$B$24,$N4=$B$27),IF($I4&lt;=$C$25,$C$24,IF(AND($I4&gt;$C$25,$I4&lt;=$D$25),$D$24,IF($I4&gt;$E$25,$E$24,"-"))),AND($L4=$B$24,$N4=$B$28),IF($I4&lt;=$C$26,$C$24,IF(AND($I4&gt;$C$26,$I4&lt;=$D$26),$D$24,IF($I4&gt;$E$26,$E$24,"-"))),AND($L4=$B$24,$N4=$B$25),IF($I4&lt;=$C$27,$C$24,IF(AND($I4&gt;$C$27,$I4&lt;=$D$27),$D$24,IF($I4&gt;$E$27,$E$24,"-"))),AND($L4=$B$24,$N4=$B$26),IF($I4&lt;=$C$28,$C$24,IF(AND($I4&gt;$C$28,$I4&lt;=$D$28),$D$24,IF($I4&gt;$E$28,$E$24,"-"))))</f>
        <v>Ineficiente</v>
      </c>
      <c r="P4" s="5">
        <v>0.75</v>
      </c>
      <c r="Q4" s="5">
        <f>$P4*$I4</f>
        <v>187.5</v>
      </c>
      <c r="R4" s="6" cm="1">
        <f t="array" ref="R4">_xlfn.IFS($N4=$B$31,$D$31,$N4=$B$32,$D$32,$N4=$B$33,$D$33,$N4=$B$34,$D$34)</f>
        <v>7.1099999999999997E-2</v>
      </c>
      <c r="S4" s="5">
        <f>$R4*$Q4</f>
        <v>13.331249999999999</v>
      </c>
      <c r="T4" s="39">
        <f>IF($K4="si",$C$42,0)</f>
        <v>0</v>
      </c>
      <c r="U4" s="5">
        <f>T4*Q4</f>
        <v>0</v>
      </c>
      <c r="V4" s="28">
        <f>IF(AL4="no",$C$41,0)</f>
        <v>0.15</v>
      </c>
      <c r="W4" s="5">
        <f>Q4*V4</f>
        <v>28.125</v>
      </c>
      <c r="X4" s="28">
        <f>IF($AN4=$B$40,$C$40,0)</f>
        <v>0</v>
      </c>
      <c r="Y4" s="5">
        <f>Q4*X4</f>
        <v>0</v>
      </c>
      <c r="Z4" s="5">
        <f>Q4*12</f>
        <v>2250</v>
      </c>
      <c r="AA4" s="6">
        <f>+X4+V4+T4+R4</f>
        <v>0.22109999999999999</v>
      </c>
      <c r="AB4" s="5">
        <f>AA4*Z4</f>
        <v>497.47499999999997</v>
      </c>
      <c r="AC4" s="53">
        <f>ABS(AG4-AA4)</f>
        <v>7.1099999999999997E-2</v>
      </c>
      <c r="AD4" s="54">
        <f>Z4*AC4</f>
        <v>159.97499999999999</v>
      </c>
      <c r="AE4" s="5">
        <f>Q4+S4+U4+W4+Y4</f>
        <v>228.95625000000001</v>
      </c>
      <c r="AF4" s="5">
        <f>AB4+Z4</f>
        <v>2747.4749999999999</v>
      </c>
      <c r="AG4" s="28">
        <f t="shared" ref="AG4:AH6" si="0">X4+V4+T4</f>
        <v>0.15</v>
      </c>
      <c r="AH4" s="5">
        <f t="shared" si="0"/>
        <v>28.125</v>
      </c>
      <c r="AI4" s="5">
        <f>Z4+AD4</f>
        <v>2409.9749999999999</v>
      </c>
      <c r="AJ4" s="5">
        <f>AF4-AI4</f>
        <v>337.5</v>
      </c>
      <c r="AK4" s="21" t="s">
        <v>46</v>
      </c>
      <c r="AL4" s="21" t="s">
        <v>45</v>
      </c>
      <c r="AM4" s="21" t="s">
        <v>45</v>
      </c>
      <c r="AN4" s="21" t="s">
        <v>78</v>
      </c>
    </row>
    <row r="5" spans="2:40" x14ac:dyDescent="0.25">
      <c r="B5" s="1" t="s">
        <v>11</v>
      </c>
      <c r="C5" s="14">
        <v>180</v>
      </c>
      <c r="D5" s="14">
        <v>350</v>
      </c>
      <c r="G5" s="4">
        <v>802658</v>
      </c>
      <c r="H5" s="22">
        <v>12</v>
      </c>
      <c r="I5" s="1">
        <v>150</v>
      </c>
      <c r="J5" s="22">
        <v>6</v>
      </c>
      <c r="K5" s="22" t="s">
        <v>45</v>
      </c>
      <c r="L5" s="22" t="s">
        <v>11</v>
      </c>
      <c r="M5" s="22">
        <v>10</v>
      </c>
      <c r="N5" s="22" t="s">
        <v>9</v>
      </c>
      <c r="O5" s="21" t="str" cm="1">
        <f t="array" ref="O5">_xlfn.IFS(AND($L5=$B$10,$N5=$B$11),IF($I5&lt;=$C$11,$C$10,IF(AND($I5&gt;$C$11,$I5&lt;=$D$11),$D$10,IF($I5&gt;$E$11,$E$10,"-"))),AND($L5=$B$10,$N5=$B$12),IF($I5&lt;=$C$12,$C$10,IF(AND($I5&gt;$C$12,$I5&lt;=$D$12),$D$10,IF($I5&gt;$E$12,$E$10,"-"))),AND($L5=$B$10,$N5=$B$13),IF($I5&lt;=$C$13,$C$10,IF(AND($I5&gt;$C$13,$I5&lt;=$D$13),$D$10,IF($I5&gt;$E$13,$E$10,"-"))),AND($L5=$B$10,$N5=$B$14),IF($I5&lt;=$C$14,$C$10,IF(AND($I5&gt;$C$14,$I5&lt;=$D$14),$D$10,IF($I5&gt;$E$14,$E$10,"-"))),AND($L5=$B$17,$N5=$B$19),IF($I5&lt;=$C$18,$C$17,IF(AND($I5&gt;$C$18,$I5&lt;=$D$18),$D$17,IF($I5&gt;$E$18,$E$17,"-"))),AND($L5=$B$17,$N5=$B$20),IF($I5&lt;=$C$19,$C$17,IF(AND($I5&gt;$C$19,$I5&lt;=$D$19),$D$17,IF($I5&gt;$E$19,$E$17,"-"))),AND($L5=$B$17,$N5=$B$21),IF($I5&lt;=$C$20,$C$17,IF(AND($I5&gt;$C$20,$I5&lt;=$D$20),$D$17,IF($I5&gt;$E$20,$E$17,"-"))),AND($L5=$B$17,$N5=$B$18),IF($I5&lt;=$C$21,$C$17,IF(AND($I5&gt;$C$21,$I5&lt;=$D$21),$D$17,IF($I5&gt;$E$21,$E$17,"-"))),AND($L5=$B$24,$N5=$B$27),IF($I5&lt;=$C$25,$C$24,IF(AND($I5&gt;$C$25,$I5&lt;=$D$25),$D$24,IF($I5&gt;$E$25,$E$24,"-"))),AND($L5=$B$24,$N5=$B$28),IF($I5&lt;=$C$26,$C$24,IF(AND($I5&gt;$C$26,$I5&lt;=$D$26),$D$24,IF($I5&gt;$E$26,$E$24,"-"))),AND($L5=$B$24,$N5=$B$25),IF($I5&lt;=$C$27,$C$24,IF(AND($I5&gt;$C$27,$I5&lt;=$D$27),$D$24,IF($I5&gt;$E$27,$E$24,"-"))),AND($L5=$B$24,$N5=$B$26),IF($I5&lt;=$C$28,$C$24,IF(AND($I5&gt;$C$28,$I5&lt;=$D$28),$D$24,IF($I5&gt;$E$28,$E$24,"-"))))</f>
        <v>Eficiente</v>
      </c>
      <c r="P5" s="2">
        <v>0.75</v>
      </c>
      <c r="Q5" s="5">
        <f>$P5*$I5</f>
        <v>112.5</v>
      </c>
      <c r="R5" s="6" cm="1">
        <f t="array" ref="R5">_xlfn.IFS($N5=$B$31,$D$31,$N5=$B$32,$D$32,$N5=$B$33,$D$33,$N5=$B$34,$D$34)</f>
        <v>8.48E-2</v>
      </c>
      <c r="S5" s="5">
        <f>$R5*$Q5</f>
        <v>9.5400000000000009</v>
      </c>
      <c r="T5" s="39">
        <f>IF($K5="si",$C$42,0)</f>
        <v>0</v>
      </c>
      <c r="U5" s="5">
        <f>T5*Q5</f>
        <v>0</v>
      </c>
      <c r="V5" s="28">
        <f>IF(AL5="no",$C$41,0)</f>
        <v>0</v>
      </c>
      <c r="W5" s="5">
        <f>Q5*V5</f>
        <v>0</v>
      </c>
      <c r="X5" s="28">
        <f>IF($AN5=$B$40,$C$40,0)</f>
        <v>0</v>
      </c>
      <c r="Y5" s="5">
        <f>Q5*X5</f>
        <v>0</v>
      </c>
      <c r="Z5" s="5">
        <f>Q5*12</f>
        <v>1350</v>
      </c>
      <c r="AA5" s="6">
        <f>+X5+V5+T5+R5</f>
        <v>8.48E-2</v>
      </c>
      <c r="AB5" s="5">
        <f>AA5*Z5</f>
        <v>114.48</v>
      </c>
      <c r="AC5" s="53">
        <f>ABS(AG5-AA5)</f>
        <v>8.48E-2</v>
      </c>
      <c r="AD5" s="54">
        <f>Z5*AC5</f>
        <v>114.48</v>
      </c>
      <c r="AE5" s="5">
        <f>Q5+S5+U5+W5+Y5</f>
        <v>122.04</v>
      </c>
      <c r="AF5" s="5">
        <f>AB5+Z5</f>
        <v>1464.48</v>
      </c>
      <c r="AG5" s="28">
        <f t="shared" si="0"/>
        <v>0</v>
      </c>
      <c r="AH5" s="5">
        <f t="shared" si="0"/>
        <v>0</v>
      </c>
      <c r="AI5" s="5">
        <f>Z5+AD5</f>
        <v>1464.48</v>
      </c>
      <c r="AJ5" s="5">
        <f>AF5-AI5</f>
        <v>0</v>
      </c>
      <c r="AK5" s="22" t="s">
        <v>46</v>
      </c>
      <c r="AL5" s="22" t="s">
        <v>46</v>
      </c>
      <c r="AM5" s="22" t="s">
        <v>45</v>
      </c>
      <c r="AN5" s="22" t="s">
        <v>79</v>
      </c>
    </row>
    <row r="6" spans="2:40" x14ac:dyDescent="0.25">
      <c r="B6" s="1" t="s">
        <v>12</v>
      </c>
      <c r="C6" s="14">
        <v>350</v>
      </c>
      <c r="D6" s="14">
        <v>650</v>
      </c>
      <c r="G6" s="4">
        <v>802658</v>
      </c>
      <c r="H6" s="22">
        <v>12</v>
      </c>
      <c r="I6" s="1">
        <v>3.2</v>
      </c>
      <c r="J6" s="22">
        <v>16</v>
      </c>
      <c r="K6" s="22" t="s">
        <v>46</v>
      </c>
      <c r="L6" s="22" t="s">
        <v>12</v>
      </c>
      <c r="M6" s="22">
        <v>12</v>
      </c>
      <c r="N6" s="22" t="s">
        <v>10</v>
      </c>
      <c r="O6" s="21" t="str" cm="1">
        <f t="array" ref="O6">_xlfn.IFS(AND($L6=$B$10,$N6=$B$11),IF($I6&lt;=$C$11,$C$10,IF(AND($I6&gt;$C$11,$I6&lt;=$D$11),$D$10,IF($I6&gt;$E$11,$E$10,"-"))),AND($L6=$B$10,$N6=$B$12),IF($I6&lt;=$C$12,$C$10,IF(AND($I6&gt;$C$12,$I6&lt;=$D$12),$D$10,IF($I6&gt;$E$12,$E$10,"-"))),AND($L6=$B$10,$N6=$B$13),IF($I6&lt;=$C$13,$C$10,IF(AND($I6&gt;$C$13,$I6&lt;=$D$13),$D$10,IF($I6&gt;$E$13,$E$10,"-"))),AND($L6=$B$10,$N6=$B$14),IF($I6&lt;=$C$14,$C$10,IF(AND($I6&gt;$C$14,$I6&lt;=$D$14),$D$10,IF($I6&gt;$E$14,$E$10,"-"))),AND($L6=$B$17,$N6=$B$19),IF($I6&lt;=$C$18,$C$17,IF(AND($I6&gt;$C$18,$I6&lt;=$D$18),$D$17,IF($I6&gt;$E$18,$E$17,"-"))),AND($L6=$B$17,$N6=$B$20),IF($I6&lt;=$C$19,$C$17,IF(AND($I6&gt;$C$19,$I6&lt;=$D$19),$D$17,IF($I6&gt;$E$19,$E$17,"-"))),AND($L6=$B$17,$N6=$B$21),IF($I6&lt;=$C$20,$C$17,IF(AND($I6&gt;$C$20,$I6&lt;=$D$20),$D$17,IF($I6&gt;$E$20,$E$17,"-"))),AND($L6=$B$17,$N6=$B$18),IF($I6&lt;=$C$21,$C$17,IF(AND($I6&gt;$C$21,$I6&lt;=$D$21),$D$17,IF($I6&gt;$E$21,$E$17,"-"))),AND($L6=$B$24,$N6=$B$27),IF($I6&lt;=$C$25,$C$24,IF(AND($I6&gt;$C$25,$I6&lt;=$D$25),$D$24,IF($I6&gt;$E$25,$E$24,"-"))),AND($L6=$B$24,$N6=$B$28),IF($I6&lt;=$C$26,$C$24,IF(AND($I6&gt;$C$26,$I6&lt;=$D$26),$D$24,IF($I6&gt;$E$26,$E$24,"-"))),AND($L6=$B$24,$N6=$B$25),IF($I6&lt;=$C$27,$C$24,IF(AND($I6&gt;$C$27,$I6&lt;=$D$27),$D$24,IF($I6&gt;$E$27,$E$24,"-"))),AND($L6=$B$24,$N6=$B$26),IF($I6&lt;=$C$28,$C$24,IF(AND($I6&gt;$C$28,$I6&lt;=$D$28),$D$24,IF($I6&gt;$E$28,$E$24,"-"))))</f>
        <v>Eficiente</v>
      </c>
      <c r="P6" s="2">
        <v>0.75</v>
      </c>
      <c r="Q6" s="5">
        <f>$P6*$I6</f>
        <v>2.4000000000000004</v>
      </c>
      <c r="R6" s="6" cm="1">
        <f t="array" ref="R6">_xlfn.IFS($N6=$B$31,$D$31,$N6=$B$32,$D$32,$N6=$B$33,$D$33,$N6=$B$34,$D$34)</f>
        <v>0.1</v>
      </c>
      <c r="S6" s="5">
        <f>$R6*$Q6</f>
        <v>0.24000000000000005</v>
      </c>
      <c r="T6" s="39">
        <f>IF($K6="si",$C$42,0)</f>
        <v>0.15</v>
      </c>
      <c r="U6" s="5">
        <f>T6*Q6</f>
        <v>0.36000000000000004</v>
      </c>
      <c r="V6" s="28">
        <f>IF(AL6="no",$C$41,0)</f>
        <v>0</v>
      </c>
      <c r="W6" s="5">
        <f>Q6*V6</f>
        <v>0</v>
      </c>
      <c r="X6" s="28">
        <f>IF($AN6=$B$40,$C$40,0)</f>
        <v>0.15</v>
      </c>
      <c r="Y6" s="5">
        <f>Q6*X6</f>
        <v>0.36000000000000004</v>
      </c>
      <c r="Z6" s="5">
        <f>Q6*12</f>
        <v>28.800000000000004</v>
      </c>
      <c r="AA6" s="6">
        <f>+X6+V6+T6+R6</f>
        <v>0.4</v>
      </c>
      <c r="AB6" s="5">
        <f>AA6*Z6</f>
        <v>11.520000000000003</v>
      </c>
      <c r="AC6" s="53">
        <f>ABS(AG6-AA6)</f>
        <v>0.10000000000000003</v>
      </c>
      <c r="AD6" s="54">
        <f>Z6*AC6</f>
        <v>2.8800000000000012</v>
      </c>
      <c r="AE6" s="5">
        <f>Q6+S6+U6+W6+Y6</f>
        <v>3.3600000000000003</v>
      </c>
      <c r="AF6" s="5">
        <f>AB6+Z6</f>
        <v>40.320000000000007</v>
      </c>
      <c r="AG6" s="28">
        <f t="shared" si="0"/>
        <v>0.3</v>
      </c>
      <c r="AH6" s="5">
        <f t="shared" si="0"/>
        <v>0.72000000000000008</v>
      </c>
      <c r="AI6" s="5">
        <f>Z6+AD6</f>
        <v>31.680000000000007</v>
      </c>
      <c r="AJ6" s="5">
        <f>AF6-AI6</f>
        <v>8.64</v>
      </c>
      <c r="AK6" s="22" t="s">
        <v>46</v>
      </c>
      <c r="AL6" s="22" t="s">
        <v>46</v>
      </c>
      <c r="AM6" s="22" t="s">
        <v>46</v>
      </c>
      <c r="AN6" s="22" t="s">
        <v>80</v>
      </c>
    </row>
    <row r="8" spans="2:40" x14ac:dyDescent="0.25">
      <c r="C8" s="63">
        <v>80</v>
      </c>
      <c r="J8" s="41">
        <v>1</v>
      </c>
      <c r="K8" s="56">
        <v>2</v>
      </c>
      <c r="L8" s="56">
        <v>3</v>
      </c>
      <c r="U8" s="40"/>
      <c r="V8" s="40"/>
      <c r="W8" s="40"/>
      <c r="X8" s="40"/>
      <c r="Y8" s="40"/>
      <c r="Z8" s="40"/>
    </row>
    <row r="9" spans="2:40" ht="15.75" thickBot="1" x14ac:dyDescent="0.3">
      <c r="C9" s="14" t="s">
        <v>0</v>
      </c>
      <c r="D9" s="14" t="s">
        <v>1</v>
      </c>
      <c r="E9" s="14" t="s">
        <v>2</v>
      </c>
      <c r="I9" s="57" t="s">
        <v>95</v>
      </c>
      <c r="J9" s="58" t="s">
        <v>12</v>
      </c>
      <c r="K9" s="58" t="s">
        <v>94</v>
      </c>
      <c r="L9" s="58" t="s">
        <v>93</v>
      </c>
      <c r="AA9" s="50"/>
    </row>
    <row r="10" spans="2:40" ht="15.75" thickBot="1" x14ac:dyDescent="0.3">
      <c r="B10" s="12" t="s">
        <v>3</v>
      </c>
      <c r="C10" s="16" t="s">
        <v>4</v>
      </c>
      <c r="D10" s="16" t="s">
        <v>5</v>
      </c>
      <c r="E10" s="16" t="s">
        <v>6</v>
      </c>
      <c r="I10" s="59">
        <v>802658</v>
      </c>
      <c r="J10" s="22">
        <v>1</v>
      </c>
      <c r="K10" s="22">
        <v>0</v>
      </c>
      <c r="L10" s="22">
        <v>0</v>
      </c>
      <c r="N10" s="55" t="s">
        <v>12</v>
      </c>
      <c r="O10" s="60">
        <v>18.819615574174399</v>
      </c>
      <c r="P10" s="61">
        <f>M4-O10</f>
        <v>-13.819615574174399</v>
      </c>
    </row>
    <row r="11" spans="2:40" x14ac:dyDescent="0.25">
      <c r="B11" s="4" t="s">
        <v>7</v>
      </c>
      <c r="C11" s="15">
        <v>91.4</v>
      </c>
      <c r="D11" s="15">
        <v>142.80000000000001</v>
      </c>
      <c r="E11" s="15">
        <v>142.80000000000001</v>
      </c>
      <c r="F11">
        <f>ABS(C11-D11)</f>
        <v>51.400000000000006</v>
      </c>
      <c r="I11" s="59">
        <v>802658</v>
      </c>
      <c r="J11" s="22">
        <v>0</v>
      </c>
      <c r="K11" s="22">
        <v>1</v>
      </c>
      <c r="L11" s="22">
        <v>0</v>
      </c>
      <c r="N11" s="55" t="s">
        <v>94</v>
      </c>
      <c r="O11" s="62">
        <v>11.1493421052631</v>
      </c>
      <c r="P11" s="1"/>
    </row>
    <row r="12" spans="2:40" x14ac:dyDescent="0.25">
      <c r="B12" s="1" t="s">
        <v>8</v>
      </c>
      <c r="C12" s="14">
        <v>81.5</v>
      </c>
      <c r="D12" s="14">
        <v>126.6</v>
      </c>
      <c r="E12" s="14">
        <v>126.6</v>
      </c>
      <c r="F12">
        <f>ABS(C12-D12)</f>
        <v>45.099999999999994</v>
      </c>
      <c r="I12" s="59">
        <v>802658</v>
      </c>
      <c r="J12" s="22">
        <v>0</v>
      </c>
      <c r="K12" s="22">
        <v>0</v>
      </c>
      <c r="L12" s="22">
        <v>1</v>
      </c>
      <c r="N12" s="55" t="s">
        <v>93</v>
      </c>
      <c r="O12" s="55">
        <v>5.0461538461538398</v>
      </c>
      <c r="P12" s="1"/>
    </row>
    <row r="13" spans="2:40" x14ac:dyDescent="0.25">
      <c r="B13" s="1" t="s">
        <v>9</v>
      </c>
      <c r="C13" s="14">
        <v>85</v>
      </c>
      <c r="D13" s="14">
        <v>137.30000000000001</v>
      </c>
      <c r="E13" s="14">
        <v>137.30000000000001</v>
      </c>
      <c r="F13">
        <f>ABS(C13-D13)</f>
        <v>52.300000000000011</v>
      </c>
    </row>
    <row r="14" spans="2:40" x14ac:dyDescent="0.25">
      <c r="B14" s="1" t="s">
        <v>10</v>
      </c>
      <c r="C14" s="14">
        <v>99.7</v>
      </c>
      <c r="D14" s="14">
        <v>164.1</v>
      </c>
      <c r="E14" s="14">
        <v>164.1</v>
      </c>
      <c r="F14">
        <f>ABS(C14-D14)</f>
        <v>64.399999999999991</v>
      </c>
    </row>
    <row r="15" spans="2:40" x14ac:dyDescent="0.25">
      <c r="C15" s="11"/>
      <c r="D15" s="11"/>
      <c r="E15" s="11"/>
      <c r="F15">
        <f>AVERAGE(F11:F14)</f>
        <v>53.3</v>
      </c>
    </row>
    <row r="16" spans="2:40" ht="15.75" thickBot="1" x14ac:dyDescent="0.3">
      <c r="C16" s="17" t="s">
        <v>0</v>
      </c>
      <c r="D16" s="17" t="s">
        <v>1</v>
      </c>
      <c r="E16" s="17" t="s">
        <v>2</v>
      </c>
    </row>
    <row r="17" spans="2:6" ht="15.75" thickBot="1" x14ac:dyDescent="0.3">
      <c r="B17" s="12" t="s">
        <v>11</v>
      </c>
      <c r="C17" s="13" t="s">
        <v>4</v>
      </c>
      <c r="D17" s="13" t="s">
        <v>5</v>
      </c>
      <c r="E17" s="13" t="s">
        <v>6</v>
      </c>
    </row>
    <row r="18" spans="2:6" x14ac:dyDescent="0.25">
      <c r="B18" s="4" t="s">
        <v>7</v>
      </c>
      <c r="C18" s="15">
        <v>219.7</v>
      </c>
      <c r="D18" s="15">
        <v>358.8</v>
      </c>
      <c r="E18" s="15">
        <v>358.8</v>
      </c>
      <c r="F18">
        <f>ABS(C18-D18)</f>
        <v>139.10000000000002</v>
      </c>
    </row>
    <row r="19" spans="2:6" x14ac:dyDescent="0.25">
      <c r="B19" s="1" t="s">
        <v>8</v>
      </c>
      <c r="C19" s="14">
        <v>182.8</v>
      </c>
      <c r="D19" s="14">
        <v>298.3</v>
      </c>
      <c r="E19" s="14">
        <v>298.3</v>
      </c>
      <c r="F19">
        <f>ABS(C19-D19)</f>
        <v>115.5</v>
      </c>
    </row>
    <row r="20" spans="2:6" x14ac:dyDescent="0.25">
      <c r="B20" s="1" t="s">
        <v>9</v>
      </c>
      <c r="C20" s="14">
        <v>217</v>
      </c>
      <c r="D20" s="14">
        <v>355.7</v>
      </c>
      <c r="E20" s="14">
        <v>355.7</v>
      </c>
      <c r="F20">
        <f>ABS(C20-D20)</f>
        <v>138.69999999999999</v>
      </c>
    </row>
    <row r="21" spans="2:6" x14ac:dyDescent="0.25">
      <c r="B21" s="1" t="s">
        <v>10</v>
      </c>
      <c r="C21" s="14">
        <v>249.3</v>
      </c>
      <c r="D21" s="14">
        <v>419.3</v>
      </c>
      <c r="E21" s="14">
        <v>419.3</v>
      </c>
      <c r="F21">
        <f>ABS(C21-D21)</f>
        <v>170</v>
      </c>
    </row>
    <row r="22" spans="2:6" x14ac:dyDescent="0.25">
      <c r="C22" s="11"/>
      <c r="D22" s="11"/>
      <c r="E22" s="11"/>
      <c r="F22">
        <f>AVERAGE(F18:F21)</f>
        <v>140.82499999999999</v>
      </c>
    </row>
    <row r="23" spans="2:6" ht="15.75" thickBot="1" x14ac:dyDescent="0.3">
      <c r="C23" s="17" t="s">
        <v>0</v>
      </c>
      <c r="D23" s="17" t="s">
        <v>1</v>
      </c>
      <c r="E23" s="17" t="s">
        <v>2</v>
      </c>
    </row>
    <row r="24" spans="2:6" ht="15.75" thickBot="1" x14ac:dyDescent="0.3">
      <c r="B24" s="12" t="s">
        <v>12</v>
      </c>
      <c r="C24" s="13" t="s">
        <v>4</v>
      </c>
      <c r="D24" s="13" t="s">
        <v>5</v>
      </c>
      <c r="E24" s="13" t="s">
        <v>6</v>
      </c>
    </row>
    <row r="25" spans="2:6" x14ac:dyDescent="0.25">
      <c r="B25" s="4" t="s">
        <v>7</v>
      </c>
      <c r="C25" s="15">
        <v>219.7</v>
      </c>
      <c r="D25" s="15">
        <v>358.8</v>
      </c>
      <c r="E25" s="15">
        <v>358.8</v>
      </c>
      <c r="F25">
        <f>ABS(C25-D25)</f>
        <v>139.10000000000002</v>
      </c>
    </row>
    <row r="26" spans="2:6" x14ac:dyDescent="0.25">
      <c r="B26" s="1" t="s">
        <v>8</v>
      </c>
      <c r="C26" s="14">
        <v>182.8</v>
      </c>
      <c r="D26" s="14">
        <v>298.3</v>
      </c>
      <c r="E26" s="14">
        <v>298.3</v>
      </c>
      <c r="F26">
        <f>ABS(C26-D26)</f>
        <v>115.5</v>
      </c>
    </row>
    <row r="27" spans="2:6" x14ac:dyDescent="0.25">
      <c r="B27" s="1" t="s">
        <v>9</v>
      </c>
      <c r="C27" s="14">
        <v>217</v>
      </c>
      <c r="D27" s="14">
        <v>355.7</v>
      </c>
      <c r="E27" s="14">
        <v>355.7</v>
      </c>
      <c r="F27">
        <f>ABS(C27-D27)</f>
        <v>138.69999999999999</v>
      </c>
    </row>
    <row r="28" spans="2:6" x14ac:dyDescent="0.25">
      <c r="B28" s="1" t="s">
        <v>10</v>
      </c>
      <c r="C28" s="14">
        <v>249.3</v>
      </c>
      <c r="D28" s="14">
        <v>419.3</v>
      </c>
      <c r="E28" s="14">
        <v>419.3</v>
      </c>
      <c r="F28">
        <f>ABS(C28-D28)</f>
        <v>170</v>
      </c>
    </row>
    <row r="29" spans="2:6" ht="15.75" thickBot="1" x14ac:dyDescent="0.3">
      <c r="C29" s="11"/>
      <c r="D29" s="11"/>
      <c r="E29" s="11"/>
      <c r="F29">
        <f>AVERAGE(F25:F28)</f>
        <v>140.82499999999999</v>
      </c>
    </row>
    <row r="30" spans="2:6" ht="15.75" thickBot="1" x14ac:dyDescent="0.3">
      <c r="B30" s="12" t="s">
        <v>13</v>
      </c>
      <c r="C30" s="13" t="s">
        <v>14</v>
      </c>
      <c r="D30" s="13" t="s">
        <v>15</v>
      </c>
      <c r="E30" s="13" t="s">
        <v>16</v>
      </c>
    </row>
    <row r="31" spans="2:6" x14ac:dyDescent="0.25">
      <c r="B31" s="4" t="s">
        <v>7</v>
      </c>
      <c r="C31" s="28">
        <v>0.86</v>
      </c>
      <c r="D31" s="6">
        <v>8.5599999999999996E-2</v>
      </c>
      <c r="E31" s="4">
        <v>358.8</v>
      </c>
    </row>
    <row r="32" spans="2:6" x14ac:dyDescent="0.25">
      <c r="B32" s="1" t="s">
        <v>8</v>
      </c>
      <c r="C32" s="27">
        <v>0.71</v>
      </c>
      <c r="D32" s="3">
        <v>7.1099999999999997E-2</v>
      </c>
      <c r="E32" s="1">
        <v>298.3</v>
      </c>
    </row>
    <row r="33" spans="2:5" x14ac:dyDescent="0.25">
      <c r="B33" s="1" t="s">
        <v>9</v>
      </c>
      <c r="C33" s="27">
        <v>0.85</v>
      </c>
      <c r="D33" s="3">
        <v>8.48E-2</v>
      </c>
      <c r="E33" s="1">
        <v>355.7</v>
      </c>
    </row>
    <row r="34" spans="2:5" ht="15.75" thickBot="1" x14ac:dyDescent="0.3">
      <c r="B34" s="29" t="s">
        <v>10</v>
      </c>
      <c r="C34" s="30">
        <v>1</v>
      </c>
      <c r="D34" s="30">
        <v>0.1</v>
      </c>
      <c r="E34" s="1">
        <v>419.3</v>
      </c>
    </row>
    <row r="35" spans="2:5" ht="15.75" thickBot="1" x14ac:dyDescent="0.3">
      <c r="B35" s="31" t="s">
        <v>17</v>
      </c>
      <c r="C35" s="32"/>
      <c r="D35" s="33">
        <v>10</v>
      </c>
    </row>
    <row r="36" spans="2:5" ht="15.75" thickBot="1" x14ac:dyDescent="0.3">
      <c r="B36" s="31" t="s">
        <v>18</v>
      </c>
      <c r="C36" s="32"/>
      <c r="D36" s="34">
        <v>0.34150000000000003</v>
      </c>
    </row>
    <row r="37" spans="2:5" ht="15.75" thickBot="1" x14ac:dyDescent="0.3">
      <c r="B37" s="31"/>
      <c r="C37" s="32"/>
      <c r="D37" s="35"/>
    </row>
    <row r="38" spans="2:5" ht="15.75" thickBot="1" x14ac:dyDescent="0.3"/>
    <row r="39" spans="2:5" x14ac:dyDescent="0.25">
      <c r="B39" s="49" t="s">
        <v>81</v>
      </c>
      <c r="C39" s="49" t="s">
        <v>82</v>
      </c>
    </row>
    <row r="40" spans="2:5" x14ac:dyDescent="0.25">
      <c r="B40" s="22" t="s">
        <v>80</v>
      </c>
      <c r="C40" s="27">
        <v>0.15</v>
      </c>
    </row>
    <row r="41" spans="2:5" x14ac:dyDescent="0.25">
      <c r="B41" s="22" t="s">
        <v>83</v>
      </c>
      <c r="C41" s="27">
        <v>0.15</v>
      </c>
    </row>
    <row r="42" spans="2:5" x14ac:dyDescent="0.25">
      <c r="B42" s="22" t="s">
        <v>19</v>
      </c>
      <c r="C42" s="27">
        <v>0.15</v>
      </c>
      <c r="D42" s="52"/>
    </row>
    <row r="44" spans="2:5" x14ac:dyDescent="0.25">
      <c r="B44" s="41" t="s">
        <v>88</v>
      </c>
    </row>
    <row r="45" spans="2:5" x14ac:dyDescent="0.25">
      <c r="B45" s="41" t="s">
        <v>46</v>
      </c>
    </row>
    <row r="46" spans="2:5" x14ac:dyDescent="0.25">
      <c r="B46" s="41" t="s">
        <v>45</v>
      </c>
    </row>
    <row r="47" spans="2:5" x14ac:dyDescent="0.25">
      <c r="B47" s="41"/>
    </row>
  </sheetData>
  <conditionalFormatting sqref="O4:O6">
    <cfRule type="cellIs" dxfId="2" priority="1" operator="equal">
      <formula>$E$10</formula>
    </cfRule>
    <cfRule type="cellIs" dxfId="1" priority="2" operator="equal">
      <formula>$D$10</formula>
    </cfRule>
    <cfRule type="cellIs" dxfId="0" priority="3" operator="equal">
      <formula>$C$10</formula>
    </cfRule>
  </conditionalFormatting>
  <dataValidations count="4">
    <dataValidation type="list" allowBlank="1" showInputMessage="1" showErrorMessage="1" sqref="K4:K6 AK4:AM6" xr:uid="{6AAA34BD-71A8-48CD-9E4F-8703D913C340}">
      <formula1>BOOL</formula1>
    </dataValidation>
    <dataValidation type="list" allowBlank="1" showInputMessage="1" showErrorMessage="1" sqref="L4:L6" xr:uid="{BA752EFD-BAC8-429E-8B71-5AA905AD242F}">
      <formula1>Tipo_Inmueble</formula1>
    </dataValidation>
    <dataValidation type="list" allowBlank="1" showInputMessage="1" showErrorMessage="1" sqref="N4:N6" xr:uid="{A9AEBF72-525A-48F6-9C5B-EA27BDEBEA0E}">
      <formula1>Estacion</formula1>
    </dataValidation>
    <dataValidation type="list" allowBlank="1" showInputMessage="1" showErrorMessage="1" sqref="AN4:AN6 B40" xr:uid="{E38D17C3-5B2C-4A1D-8A63-CAAB622F58FA}">
      <formula1>antigüedad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492A-DC3B-4EF7-B7BD-61ECC4CF67E3}">
  <dimension ref="B2:O25"/>
  <sheetViews>
    <sheetView topLeftCell="A2" zoomScale="110" zoomScaleNormal="110" workbookViewId="0">
      <selection activeCell="I3" sqref="I3:L24"/>
    </sheetView>
  </sheetViews>
  <sheetFormatPr baseColWidth="10" defaultRowHeight="15" x14ac:dyDescent="0.25"/>
  <cols>
    <col min="2" max="2" width="14.85546875" bestFit="1" customWidth="1"/>
    <col min="3" max="3" width="8.85546875" bestFit="1" customWidth="1"/>
    <col min="4" max="4" width="10.28515625" bestFit="1" customWidth="1"/>
    <col min="5" max="5" width="10.7109375" bestFit="1" customWidth="1"/>
    <col min="6" max="6" width="8" bestFit="1" customWidth="1"/>
    <col min="7" max="7" width="9.7109375" bestFit="1" customWidth="1"/>
    <col min="9" max="9" width="14.85546875" bestFit="1" customWidth="1"/>
    <col min="10" max="10" width="8.85546875" bestFit="1" customWidth="1"/>
    <col min="11" max="11" width="10.28515625" bestFit="1" customWidth="1"/>
    <col min="12" max="12" width="10.7109375" bestFit="1" customWidth="1"/>
    <col min="13" max="13" width="8" bestFit="1" customWidth="1"/>
    <col min="14" max="14" width="8" customWidth="1"/>
    <col min="15" max="15" width="9.7109375" bestFit="1" customWidth="1"/>
  </cols>
  <sheetData>
    <row r="2" spans="2:15" x14ac:dyDescent="0.25">
      <c r="C2" s="56">
        <v>100</v>
      </c>
      <c r="J2" s="56">
        <v>100</v>
      </c>
      <c r="K2" s="56">
        <v>30</v>
      </c>
    </row>
    <row r="3" spans="2:15" ht="15.75" thickBot="1" x14ac:dyDescent="0.3">
      <c r="C3" s="14" t="s">
        <v>0</v>
      </c>
      <c r="D3" s="14" t="s">
        <v>1</v>
      </c>
      <c r="E3" s="14" t="s">
        <v>2</v>
      </c>
      <c r="J3" s="14" t="s">
        <v>0</v>
      </c>
      <c r="K3" s="14" t="s">
        <v>1</v>
      </c>
      <c r="L3" s="14" t="s">
        <v>2</v>
      </c>
    </row>
    <row r="4" spans="2:15" ht="15.75" thickBot="1" x14ac:dyDescent="0.3">
      <c r="B4" s="12" t="s">
        <v>3</v>
      </c>
      <c r="C4" s="16" t="s">
        <v>4</v>
      </c>
      <c r="D4" s="16" t="s">
        <v>5</v>
      </c>
      <c r="E4" s="16" t="s">
        <v>6</v>
      </c>
      <c r="I4" s="64" t="s">
        <v>3</v>
      </c>
      <c r="J4" s="65" t="s">
        <v>4</v>
      </c>
      <c r="K4" s="65" t="s">
        <v>5</v>
      </c>
      <c r="L4" s="65" t="s">
        <v>6</v>
      </c>
    </row>
    <row r="5" spans="2:15" x14ac:dyDescent="0.25">
      <c r="B5" s="4" t="s">
        <v>7</v>
      </c>
      <c r="C5" s="15">
        <v>91.4</v>
      </c>
      <c r="D5" s="15">
        <v>142.80000000000001</v>
      </c>
      <c r="E5" s="15">
        <v>142.80000000000001</v>
      </c>
      <c r="F5">
        <f>ABS(C5-D5)</f>
        <v>51.400000000000006</v>
      </c>
      <c r="I5" s="66" t="s">
        <v>7</v>
      </c>
      <c r="J5" s="67">
        <f>(C5+N5)-10</f>
        <v>132.80000000000001</v>
      </c>
      <c r="K5" s="67">
        <f>D5+$K$2</f>
        <v>172.8</v>
      </c>
      <c r="L5" s="67">
        <f>K5</f>
        <v>172.8</v>
      </c>
      <c r="M5">
        <f>ABS(J5-K5)</f>
        <v>40</v>
      </c>
      <c r="N5">
        <v>51.400000000000006</v>
      </c>
    </row>
    <row r="6" spans="2:15" x14ac:dyDescent="0.25">
      <c r="B6" s="1" t="s">
        <v>8</v>
      </c>
      <c r="C6" s="14">
        <v>81.5</v>
      </c>
      <c r="D6" s="14">
        <v>126.6</v>
      </c>
      <c r="E6" s="14">
        <v>126.6</v>
      </c>
      <c r="F6">
        <f>ABS(C6-D6)</f>
        <v>45.099999999999994</v>
      </c>
      <c r="I6" s="68" t="s">
        <v>8</v>
      </c>
      <c r="J6" s="67">
        <f>(C6+N6)-10</f>
        <v>116.6</v>
      </c>
      <c r="K6" s="67">
        <f>D6+$K$2</f>
        <v>156.6</v>
      </c>
      <c r="L6" s="67">
        <f>K6</f>
        <v>156.6</v>
      </c>
      <c r="M6">
        <f>ABS(J6-K6)</f>
        <v>40</v>
      </c>
      <c r="N6">
        <v>45.099999999999994</v>
      </c>
    </row>
    <row r="7" spans="2:15" x14ac:dyDescent="0.25">
      <c r="B7" s="1" t="s">
        <v>9</v>
      </c>
      <c r="C7" s="14">
        <v>85</v>
      </c>
      <c r="D7" s="14">
        <v>137.30000000000001</v>
      </c>
      <c r="E7" s="14">
        <v>137.30000000000001</v>
      </c>
      <c r="F7">
        <f>ABS(C7-D7)</f>
        <v>52.300000000000011</v>
      </c>
      <c r="I7" s="68" t="s">
        <v>9</v>
      </c>
      <c r="J7" s="67">
        <f>(C7+N7)-10</f>
        <v>127.30000000000001</v>
      </c>
      <c r="K7" s="67">
        <f>D7+$K$2</f>
        <v>167.3</v>
      </c>
      <c r="L7" s="67">
        <f>K7</f>
        <v>167.3</v>
      </c>
      <c r="M7">
        <f>ABS(J7-K7)</f>
        <v>40</v>
      </c>
      <c r="N7">
        <v>52.300000000000011</v>
      </c>
    </row>
    <row r="8" spans="2:15" x14ac:dyDescent="0.25">
      <c r="B8" s="1" t="s">
        <v>10</v>
      </c>
      <c r="C8" s="14">
        <v>99.7</v>
      </c>
      <c r="D8" s="14">
        <v>164.1</v>
      </c>
      <c r="E8" s="14">
        <v>164.1</v>
      </c>
      <c r="F8">
        <f>ABS(C8-D8)</f>
        <v>64.399999999999991</v>
      </c>
      <c r="I8" s="68" t="s">
        <v>10</v>
      </c>
      <c r="J8" s="67">
        <f>(C8+N8)-10</f>
        <v>154.1</v>
      </c>
      <c r="K8" s="67">
        <f>D8+$K$2</f>
        <v>194.1</v>
      </c>
      <c r="L8" s="67">
        <f>K8</f>
        <v>194.1</v>
      </c>
      <c r="M8">
        <f>ABS(J8-K8)</f>
        <v>40</v>
      </c>
      <c r="N8">
        <v>64.399999999999991</v>
      </c>
    </row>
    <row r="9" spans="2:15" x14ac:dyDescent="0.25">
      <c r="C9" s="11"/>
      <c r="D9" s="11"/>
      <c r="E9" s="11"/>
      <c r="F9">
        <f>AVERAGE(F5:F8)</f>
        <v>53.3</v>
      </c>
      <c r="G9" t="s">
        <v>96</v>
      </c>
      <c r="H9">
        <f>F9-15</f>
        <v>38.299999999999997</v>
      </c>
      <c r="J9" s="11"/>
      <c r="K9" s="11"/>
      <c r="L9" s="11"/>
      <c r="M9">
        <f>AVERAGE(M5:M8)</f>
        <v>40</v>
      </c>
      <c r="N9">
        <v>53.3</v>
      </c>
      <c r="O9" t="s">
        <v>96</v>
      </c>
    </row>
    <row r="10" spans="2:15" x14ac:dyDescent="0.25">
      <c r="C10" s="11"/>
      <c r="D10" s="11"/>
      <c r="E10" s="11"/>
      <c r="J10" s="11">
        <v>30</v>
      </c>
      <c r="K10" s="11">
        <v>30</v>
      </c>
      <c r="L10" s="11"/>
    </row>
    <row r="11" spans="2:15" ht="15.75" thickBot="1" x14ac:dyDescent="0.3">
      <c r="C11" s="17" t="s">
        <v>0</v>
      </c>
      <c r="D11" s="17" t="s">
        <v>1</v>
      </c>
      <c r="E11" s="17" t="s">
        <v>2</v>
      </c>
      <c r="J11" s="17" t="s">
        <v>0</v>
      </c>
      <c r="K11" s="17" t="s">
        <v>1</v>
      </c>
      <c r="L11" s="17" t="s">
        <v>2</v>
      </c>
    </row>
    <row r="12" spans="2:15" ht="15.75" thickBot="1" x14ac:dyDescent="0.3">
      <c r="B12" s="12" t="s">
        <v>11</v>
      </c>
      <c r="C12" s="13" t="s">
        <v>4</v>
      </c>
      <c r="D12" s="13" t="s">
        <v>5</v>
      </c>
      <c r="E12" s="13" t="s">
        <v>6</v>
      </c>
      <c r="I12" s="64" t="s">
        <v>11</v>
      </c>
      <c r="J12" s="26" t="s">
        <v>4</v>
      </c>
      <c r="K12" s="26" t="s">
        <v>5</v>
      </c>
      <c r="L12" s="26" t="s">
        <v>6</v>
      </c>
    </row>
    <row r="13" spans="2:15" x14ac:dyDescent="0.25">
      <c r="B13" s="4" t="s">
        <v>7</v>
      </c>
      <c r="C13" s="15">
        <v>219.7</v>
      </c>
      <c r="D13" s="15">
        <v>358.8</v>
      </c>
      <c r="E13" s="15">
        <v>358.8</v>
      </c>
      <c r="F13">
        <f>ABS(C13-D13)</f>
        <v>139.10000000000002</v>
      </c>
      <c r="I13" s="66" t="s">
        <v>7</v>
      </c>
      <c r="J13" s="67">
        <v>219.7</v>
      </c>
      <c r="K13" s="67">
        <v>358.8</v>
      </c>
      <c r="L13" s="67">
        <v>358.8</v>
      </c>
      <c r="M13">
        <f>ABS(J13-K13)</f>
        <v>139.10000000000002</v>
      </c>
      <c r="N13">
        <v>139.10000000000002</v>
      </c>
    </row>
    <row r="14" spans="2:15" x14ac:dyDescent="0.25">
      <c r="B14" s="1" t="s">
        <v>8</v>
      </c>
      <c r="C14" s="14">
        <v>182.8</v>
      </c>
      <c r="D14" s="14">
        <v>298.3</v>
      </c>
      <c r="E14" s="14">
        <v>298.3</v>
      </c>
      <c r="F14">
        <f>ABS(C14-D14)</f>
        <v>115.5</v>
      </c>
      <c r="I14" s="68" t="s">
        <v>8</v>
      </c>
      <c r="J14" s="69">
        <v>182.8</v>
      </c>
      <c r="K14" s="69">
        <v>298.3</v>
      </c>
      <c r="L14" s="69">
        <v>298.3</v>
      </c>
      <c r="M14">
        <f>ABS(J14-K14)</f>
        <v>115.5</v>
      </c>
      <c r="N14">
        <v>115.5</v>
      </c>
    </row>
    <row r="15" spans="2:15" x14ac:dyDescent="0.25">
      <c r="B15" s="1" t="s">
        <v>9</v>
      </c>
      <c r="C15" s="14">
        <v>217</v>
      </c>
      <c r="D15" s="14">
        <v>355.7</v>
      </c>
      <c r="E15" s="14">
        <v>355.7</v>
      </c>
      <c r="F15">
        <f>ABS(C15-D15)</f>
        <v>138.69999999999999</v>
      </c>
      <c r="I15" s="68" t="s">
        <v>9</v>
      </c>
      <c r="J15" s="69">
        <v>217</v>
      </c>
      <c r="K15" s="69">
        <v>355.7</v>
      </c>
      <c r="L15" s="69">
        <v>355.7</v>
      </c>
      <c r="M15">
        <f>ABS(J15-K15)</f>
        <v>138.69999999999999</v>
      </c>
      <c r="N15">
        <v>138.69999999999999</v>
      </c>
    </row>
    <row r="16" spans="2:15" x14ac:dyDescent="0.25">
      <c r="B16" s="1" t="s">
        <v>10</v>
      </c>
      <c r="C16" s="14">
        <v>249.3</v>
      </c>
      <c r="D16" s="14">
        <v>419.3</v>
      </c>
      <c r="E16" s="14">
        <v>419.3</v>
      </c>
      <c r="F16">
        <f>ABS(C16-D16)</f>
        <v>170</v>
      </c>
      <c r="I16" s="68" t="s">
        <v>10</v>
      </c>
      <c r="J16" s="69">
        <v>249.3</v>
      </c>
      <c r="K16" s="69">
        <v>365.7</v>
      </c>
      <c r="L16" s="69">
        <v>365.7</v>
      </c>
      <c r="M16">
        <f>ABS(J16-K16)</f>
        <v>116.39999999999998</v>
      </c>
      <c r="N16">
        <v>170</v>
      </c>
    </row>
    <row r="17" spans="2:15" x14ac:dyDescent="0.25">
      <c r="C17" s="11"/>
      <c r="D17" s="11"/>
      <c r="E17" s="11"/>
      <c r="F17">
        <f>AVERAGE(F13:F16)</f>
        <v>140.82499999999999</v>
      </c>
      <c r="G17" t="s">
        <v>96</v>
      </c>
      <c r="J17" s="11"/>
      <c r="K17" s="11"/>
      <c r="L17" s="11"/>
      <c r="M17">
        <f>AVERAGE(M13:M16)</f>
        <v>127.425</v>
      </c>
      <c r="N17">
        <v>140.82499999999999</v>
      </c>
      <c r="O17" t="s">
        <v>96</v>
      </c>
    </row>
    <row r="18" spans="2:15" x14ac:dyDescent="0.25">
      <c r="C18" s="11"/>
      <c r="D18" s="11"/>
      <c r="E18" s="11"/>
      <c r="J18" s="11">
        <v>350</v>
      </c>
      <c r="K18" s="11">
        <v>650</v>
      </c>
      <c r="L18" s="11"/>
    </row>
    <row r="19" spans="2:15" ht="15.75" thickBot="1" x14ac:dyDescent="0.3">
      <c r="C19" s="17" t="s">
        <v>0</v>
      </c>
      <c r="D19" s="17" t="s">
        <v>1</v>
      </c>
      <c r="E19" s="17" t="s">
        <v>2</v>
      </c>
      <c r="J19" s="17" t="s">
        <v>0</v>
      </c>
      <c r="K19" s="17" t="s">
        <v>1</v>
      </c>
      <c r="L19" s="17" t="s">
        <v>2</v>
      </c>
    </row>
    <row r="20" spans="2:15" ht="15.75" thickBot="1" x14ac:dyDescent="0.3">
      <c r="B20" s="12" t="s">
        <v>12</v>
      </c>
      <c r="C20" s="13" t="s">
        <v>4</v>
      </c>
      <c r="D20" s="13" t="s">
        <v>5</v>
      </c>
      <c r="E20" s="13" t="s">
        <v>6</v>
      </c>
      <c r="I20" s="12" t="s">
        <v>12</v>
      </c>
      <c r="J20" s="13" t="s">
        <v>4</v>
      </c>
      <c r="K20" s="13" t="s">
        <v>5</v>
      </c>
      <c r="L20" s="13" t="s">
        <v>6</v>
      </c>
    </row>
    <row r="21" spans="2:15" x14ac:dyDescent="0.25">
      <c r="B21" s="4" t="s">
        <v>7</v>
      </c>
      <c r="C21" s="15">
        <v>219.7</v>
      </c>
      <c r="D21" s="15">
        <v>358.8</v>
      </c>
      <c r="E21" s="15">
        <v>358.8</v>
      </c>
      <c r="F21">
        <f>ABS(C21-D21)</f>
        <v>139.10000000000002</v>
      </c>
      <c r="I21" s="4" t="s">
        <v>7</v>
      </c>
      <c r="J21" s="15">
        <f>(C21+F21)-10</f>
        <v>348.8</v>
      </c>
      <c r="K21" s="15">
        <f>(J21+F21)+80</f>
        <v>567.90000000000009</v>
      </c>
      <c r="L21" s="15">
        <f>K21</f>
        <v>567.90000000000009</v>
      </c>
      <c r="M21">
        <f>ABS(J21-K21)</f>
        <v>219.10000000000008</v>
      </c>
      <c r="N21">
        <v>139.10000000000002</v>
      </c>
    </row>
    <row r="22" spans="2:15" x14ac:dyDescent="0.25">
      <c r="B22" s="1" t="s">
        <v>8</v>
      </c>
      <c r="C22" s="14">
        <v>182.8</v>
      </c>
      <c r="D22" s="14">
        <v>298.3</v>
      </c>
      <c r="E22" s="14">
        <v>298.3</v>
      </c>
      <c r="F22">
        <f>ABS(C22-D22)</f>
        <v>115.5</v>
      </c>
      <c r="I22" s="1" t="s">
        <v>8</v>
      </c>
      <c r="J22" s="15">
        <f>(C22+F22)-10</f>
        <v>288.3</v>
      </c>
      <c r="K22" s="15">
        <f>(J22+F22)+80</f>
        <v>483.8</v>
      </c>
      <c r="L22" s="15">
        <f>K22</f>
        <v>483.8</v>
      </c>
      <c r="M22">
        <f t="shared" ref="M22:M24" si="0">ABS(J22-K22)</f>
        <v>195.5</v>
      </c>
      <c r="N22">
        <v>115.5</v>
      </c>
    </row>
    <row r="23" spans="2:15" x14ac:dyDescent="0.25">
      <c r="B23" s="1" t="s">
        <v>9</v>
      </c>
      <c r="C23" s="14">
        <v>217</v>
      </c>
      <c r="D23" s="14">
        <v>355.7</v>
      </c>
      <c r="E23" s="14">
        <v>355.7</v>
      </c>
      <c r="F23">
        <f>ABS(C23-D23)</f>
        <v>138.69999999999999</v>
      </c>
      <c r="I23" s="1" t="s">
        <v>9</v>
      </c>
      <c r="J23" s="15">
        <f>(C23+F23)-10</f>
        <v>345.7</v>
      </c>
      <c r="K23" s="15">
        <f>(J23+F23)+80</f>
        <v>564.4</v>
      </c>
      <c r="L23" s="15">
        <f>K23</f>
        <v>564.4</v>
      </c>
      <c r="M23">
        <f t="shared" si="0"/>
        <v>218.7</v>
      </c>
      <c r="N23">
        <v>138.69999999999999</v>
      </c>
    </row>
    <row r="24" spans="2:15" x14ac:dyDescent="0.25">
      <c r="B24" s="1" t="s">
        <v>10</v>
      </c>
      <c r="C24" s="14">
        <v>249.3</v>
      </c>
      <c r="D24" s="14">
        <v>419.3</v>
      </c>
      <c r="E24" s="14">
        <v>419.3</v>
      </c>
      <c r="F24">
        <f>ABS(C24-D24)</f>
        <v>170</v>
      </c>
      <c r="I24" s="1" t="s">
        <v>10</v>
      </c>
      <c r="J24" s="15">
        <f>(C24+F24)-10</f>
        <v>409.3</v>
      </c>
      <c r="K24" s="15">
        <f>(J24+F24)+80</f>
        <v>659.3</v>
      </c>
      <c r="L24" s="15">
        <f>K24</f>
        <v>659.3</v>
      </c>
      <c r="M24">
        <f t="shared" si="0"/>
        <v>249.99999999999994</v>
      </c>
      <c r="N24">
        <v>170</v>
      </c>
    </row>
    <row r="25" spans="2:15" x14ac:dyDescent="0.25">
      <c r="C25" s="11"/>
      <c r="D25" s="11"/>
      <c r="E25" s="11"/>
      <c r="F25">
        <f>AVERAGE(F21:F24)</f>
        <v>140.82499999999999</v>
      </c>
      <c r="G25" t="s">
        <v>96</v>
      </c>
      <c r="J25" s="11"/>
      <c r="K25" s="11"/>
      <c r="L25" s="11"/>
      <c r="M25">
        <f>AVERAGE(M21:M24)</f>
        <v>220.82499999999999</v>
      </c>
      <c r="N25">
        <v>140.82499999999999</v>
      </c>
      <c r="O25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1CE6-4AC7-437F-AAE2-6E69507E89D9}">
  <sheetPr>
    <tabColor rgb="FFFFFF00"/>
  </sheetPr>
  <dimension ref="A1:D22"/>
  <sheetViews>
    <sheetView tabSelected="1" workbookViewId="0"/>
  </sheetViews>
  <sheetFormatPr baseColWidth="10"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>
        <v>132.80000000000001</v>
      </c>
      <c r="C3">
        <v>172.8</v>
      </c>
      <c r="D3">
        <v>172.8</v>
      </c>
    </row>
    <row r="4" spans="1:4" x14ac:dyDescent="0.25">
      <c r="A4" t="s">
        <v>8</v>
      </c>
      <c r="B4">
        <v>116.6</v>
      </c>
      <c r="C4">
        <v>156.6</v>
      </c>
      <c r="D4">
        <v>156.6</v>
      </c>
    </row>
    <row r="5" spans="1:4" x14ac:dyDescent="0.25">
      <c r="A5" t="s">
        <v>9</v>
      </c>
      <c r="B5">
        <v>127.30000000000001</v>
      </c>
      <c r="C5">
        <v>167.3</v>
      </c>
      <c r="D5">
        <v>167.3</v>
      </c>
    </row>
    <row r="6" spans="1:4" x14ac:dyDescent="0.25">
      <c r="A6" t="s">
        <v>10</v>
      </c>
      <c r="B6">
        <v>154.1</v>
      </c>
      <c r="C6">
        <v>194.1</v>
      </c>
      <c r="D6">
        <v>194.1</v>
      </c>
    </row>
    <row r="8" spans="1:4" x14ac:dyDescent="0.25">
      <c r="B8">
        <v>30</v>
      </c>
      <c r="C8">
        <v>30</v>
      </c>
    </row>
    <row r="9" spans="1:4" x14ac:dyDescent="0.25">
      <c r="B9" t="s">
        <v>0</v>
      </c>
      <c r="C9" t="s">
        <v>1</v>
      </c>
      <c r="D9" t="s">
        <v>2</v>
      </c>
    </row>
    <row r="10" spans="1:4" x14ac:dyDescent="0.25">
      <c r="A10" t="s">
        <v>11</v>
      </c>
      <c r="B10" t="s">
        <v>4</v>
      </c>
      <c r="C10" t="s">
        <v>5</v>
      </c>
      <c r="D10" t="s">
        <v>6</v>
      </c>
    </row>
    <row r="11" spans="1:4" x14ac:dyDescent="0.25">
      <c r="A11" t="s">
        <v>7</v>
      </c>
      <c r="B11">
        <v>219.7</v>
      </c>
      <c r="C11">
        <v>358.8</v>
      </c>
      <c r="D11">
        <v>358.8</v>
      </c>
    </row>
    <row r="12" spans="1:4" x14ac:dyDescent="0.25">
      <c r="A12" t="s">
        <v>8</v>
      </c>
      <c r="B12">
        <v>182.8</v>
      </c>
      <c r="C12">
        <v>298.3</v>
      </c>
      <c r="D12">
        <v>298.3</v>
      </c>
    </row>
    <row r="13" spans="1:4" x14ac:dyDescent="0.25">
      <c r="A13" t="s">
        <v>9</v>
      </c>
      <c r="B13">
        <v>217</v>
      </c>
      <c r="C13">
        <v>355.7</v>
      </c>
      <c r="D13">
        <v>355.7</v>
      </c>
    </row>
    <row r="14" spans="1:4" x14ac:dyDescent="0.25">
      <c r="A14" t="s">
        <v>10</v>
      </c>
      <c r="B14">
        <v>249.3</v>
      </c>
      <c r="C14">
        <v>365.7</v>
      </c>
      <c r="D14">
        <v>365.7</v>
      </c>
    </row>
    <row r="16" spans="1:4" x14ac:dyDescent="0.25">
      <c r="B16">
        <v>350</v>
      </c>
      <c r="C16">
        <v>650</v>
      </c>
    </row>
    <row r="17" spans="1:4" x14ac:dyDescent="0.25">
      <c r="B17" t="s">
        <v>0</v>
      </c>
      <c r="C17" t="s">
        <v>1</v>
      </c>
      <c r="D17" t="s">
        <v>2</v>
      </c>
    </row>
    <row r="18" spans="1:4" x14ac:dyDescent="0.25">
      <c r="A18" t="s">
        <v>12</v>
      </c>
      <c r="B18" t="s">
        <v>4</v>
      </c>
      <c r="C18" t="s">
        <v>5</v>
      </c>
      <c r="D18" t="s">
        <v>6</v>
      </c>
    </row>
    <row r="19" spans="1:4" x14ac:dyDescent="0.25">
      <c r="A19" t="s">
        <v>7</v>
      </c>
      <c r="B19">
        <v>348.8</v>
      </c>
      <c r="C19">
        <v>567.90000000000009</v>
      </c>
      <c r="D19">
        <v>567.90000000000009</v>
      </c>
    </row>
    <row r="20" spans="1:4" x14ac:dyDescent="0.25">
      <c r="A20" t="s">
        <v>8</v>
      </c>
      <c r="B20">
        <v>288.3</v>
      </c>
      <c r="C20">
        <v>483.8</v>
      </c>
      <c r="D20">
        <v>483.8</v>
      </c>
    </row>
    <row r="21" spans="1:4" x14ac:dyDescent="0.25">
      <c r="A21" t="s">
        <v>9</v>
      </c>
      <c r="B21">
        <v>345.7</v>
      </c>
      <c r="C21">
        <v>564.4</v>
      </c>
      <c r="D21">
        <v>564.4</v>
      </c>
    </row>
    <row r="22" spans="1:4" x14ac:dyDescent="0.25">
      <c r="A22" t="s">
        <v>10</v>
      </c>
      <c r="B22">
        <v>409.3</v>
      </c>
      <c r="C22">
        <v>659.3</v>
      </c>
      <c r="D22">
        <v>659.3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listas</vt:lpstr>
      <vt:lpstr>Variables</vt:lpstr>
      <vt:lpstr>Parametros</vt:lpstr>
      <vt:lpstr>metricas</vt:lpstr>
      <vt:lpstr>metricas_final</vt:lpstr>
      <vt:lpstr>antigüedad</vt:lpstr>
      <vt:lpstr>BOOL</vt:lpstr>
      <vt:lpstr>Estacion</vt:lpstr>
      <vt:lpstr>Tipo_Inmueble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2026-07-29T18:09:04Z</dcterms:created>
  <dcterms:modified xsi:type="dcterms:W3CDTF">2026-08-14T14:16:08Z</dcterms:modified>
</cp:coreProperties>
</file>